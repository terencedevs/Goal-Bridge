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51D35CD09C38F9/文档/"/>
    </mc:Choice>
  </mc:AlternateContent>
  <xr:revisionPtr revIDLastSave="219" documentId="8_{AB215F25-290B-4194-BD20-6F822776DE45}" xr6:coauthVersionLast="47" xr6:coauthVersionMax="47" xr10:uidLastSave="{230E2218-AA70-46E9-88B2-29101B6EFCE8}"/>
  <bookViews>
    <workbookView xWindow="-108" yWindow="-108" windowWidth="23256" windowHeight="12456" xr2:uid="{00000000-000D-0000-FFFF-FFFF00000000}"/>
  </bookViews>
  <sheets>
    <sheet name="Test Cases" sheetId="1" r:id="rId1"/>
    <sheet name="Formula Reference" sheetId="2" r:id="rId2"/>
    <sheet name="Coverage Checklist" sheetId="3" r:id="rId3"/>
  </sheets>
  <definedNames>
    <definedName name="_xlnm._FilterDatabase" localSheetId="0" hidden="1">'Test Cases'!$A$1:$AK$11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N3" i="1"/>
  <c r="L3" i="1" s="1"/>
  <c r="N2" i="1"/>
  <c r="S11" i="1"/>
  <c r="N11" i="1"/>
  <c r="L11" i="1" s="1"/>
  <c r="K11" i="1"/>
  <c r="S10" i="1"/>
  <c r="N10" i="1"/>
  <c r="L10" i="1" s="1"/>
  <c r="K10" i="1"/>
  <c r="S9" i="1"/>
  <c r="N9" i="1"/>
  <c r="L9" i="1" s="1"/>
  <c r="K9" i="1"/>
  <c r="S8" i="1"/>
  <c r="N8" i="1"/>
  <c r="L8" i="1" s="1"/>
  <c r="K8" i="1"/>
  <c r="S7" i="1"/>
  <c r="N7" i="1"/>
  <c r="L7" i="1" s="1"/>
  <c r="K7" i="1"/>
  <c r="S6" i="1"/>
  <c r="N6" i="1"/>
  <c r="L6" i="1" s="1"/>
  <c r="K6" i="1"/>
  <c r="S5" i="1"/>
  <c r="N5" i="1"/>
  <c r="L5" i="1" s="1"/>
  <c r="S4" i="1"/>
  <c r="N4" i="1"/>
  <c r="L4" i="1" s="1"/>
  <c r="K4" i="1"/>
  <c r="S3" i="1"/>
  <c r="K3" i="1"/>
  <c r="S2" i="1"/>
  <c r="K2" i="1"/>
  <c r="L2" i="1" l="1"/>
  <c r="T11" i="1"/>
  <c r="O11" i="1"/>
  <c r="M11" i="1"/>
  <c r="O10" i="1"/>
  <c r="M10" i="1"/>
  <c r="O9" i="1"/>
  <c r="M9" i="1"/>
  <c r="O8" i="1"/>
  <c r="M8" i="1"/>
  <c r="O7" i="1"/>
  <c r="M7" i="1"/>
  <c r="O6" i="1"/>
  <c r="M6" i="1"/>
  <c r="M5" i="1"/>
  <c r="O5" i="1"/>
  <c r="M4" i="1"/>
  <c r="O4" i="1"/>
  <c r="O3" i="1"/>
  <c r="M3" i="1"/>
  <c r="O2" i="1" l="1"/>
  <c r="M2" i="1"/>
  <c r="P11" i="1"/>
  <c r="P10" i="1"/>
  <c r="P9" i="1"/>
  <c r="P8" i="1"/>
  <c r="P7" i="1"/>
  <c r="P6" i="1"/>
  <c r="P5" i="1"/>
  <c r="P4" i="1"/>
  <c r="P3" i="1"/>
  <c r="P2" i="1" l="1"/>
  <c r="Q2" i="1" s="1"/>
  <c r="U11" i="1"/>
  <c r="Q11" i="1"/>
  <c r="U10" i="1"/>
  <c r="T10" i="1"/>
  <c r="Q10" i="1"/>
  <c r="T9" i="1"/>
  <c r="U9" i="1"/>
  <c r="Q9" i="1"/>
  <c r="U8" i="1"/>
  <c r="T8" i="1"/>
  <c r="Q8" i="1"/>
  <c r="T7" i="1"/>
  <c r="U7" i="1"/>
  <c r="Q7" i="1"/>
  <c r="T6" i="1"/>
  <c r="U6" i="1"/>
  <c r="Q6" i="1"/>
  <c r="T5" i="1"/>
  <c r="U5" i="1"/>
  <c r="Q5" i="1"/>
  <c r="T4" i="1"/>
  <c r="U4" i="1"/>
  <c r="Q4" i="1"/>
  <c r="T3" i="1"/>
  <c r="U3" i="1"/>
  <c r="Q3" i="1"/>
  <c r="U2" i="1" l="1"/>
  <c r="T2" i="1"/>
  <c r="R10" i="1"/>
  <c r="AG10" i="1" s="1"/>
  <c r="AJ10" i="1" s="1"/>
  <c r="R11" i="1"/>
  <c r="AG11" i="1" s="1"/>
  <c r="AJ11" i="1" s="1"/>
  <c r="R9" i="1"/>
  <c r="AG9" i="1" s="1"/>
  <c r="AJ9" i="1" s="1"/>
  <c r="R8" i="1"/>
  <c r="AJ8" i="1" s="1"/>
  <c r="R7" i="1"/>
  <c r="AG7" i="1" s="1"/>
  <c r="AJ7" i="1" s="1"/>
  <c r="R6" i="1"/>
  <c r="AJ6" i="1" s="1"/>
  <c r="R5" i="1"/>
  <c r="AG5" i="1" s="1"/>
  <c r="AJ5" i="1" s="1"/>
  <c r="R4" i="1"/>
  <c r="AJ4" i="1" s="1"/>
  <c r="R3" i="1"/>
  <c r="AG3" i="1" s="1"/>
  <c r="AJ3" i="1" s="1"/>
  <c r="R2" i="1" l="1"/>
  <c r="AJ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P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Goal Bridge reference case: ₹12,00,000 today, 10 years, 6% inflation, 1% annual return, ₹0 existing savings. Using the effective monthly rate (1.01)^(1/12)-1 gives an expected monthly plan of about ₹17,039.34, which the site displays as ₹17,039/month.</t>
        </r>
      </text>
    </comment>
  </commentList>
</comments>
</file>

<file path=xl/sharedStrings.xml><?xml version="1.0" encoding="utf-8"?>
<sst xmlns="http://schemas.openxmlformats.org/spreadsheetml/2006/main" count="214" uniqueCount="150">
  <si>
    <t>Test Case ID</t>
  </si>
  <si>
    <t>Goal / Label</t>
  </si>
  <si>
    <t>Today's Cost (₹)</t>
  </si>
  <si>
    <t>Years Until Needed</t>
  </si>
  <si>
    <t>Remaining Months</t>
  </si>
  <si>
    <t>Inflation (% p.a.)</t>
  </si>
  <si>
    <t>Return (% p.a.)</t>
  </si>
  <si>
    <t>Existing Savings (₹)</t>
  </si>
  <si>
    <t>Monthly Income (₹)</t>
  </si>
  <si>
    <t>Monthly Commitments (₹)</t>
  </si>
  <si>
    <t>Expected Future Goal Cost (₹)</t>
  </si>
  <si>
    <t>Expected Future Value of Savings (₹)</t>
  </si>
  <si>
    <t>Expected Funding Gap (₹)</t>
  </si>
  <si>
    <t>Expected Monthly Rate</t>
  </si>
  <si>
    <t>Expected Starting Progress (%)</t>
  </si>
  <si>
    <t>Expected Monthly Plan / SIP (₹)</t>
  </si>
  <si>
    <t>Expected Total Contributions (₹)</t>
  </si>
  <si>
    <t>Expected Projected Growth (₹)</t>
  </si>
  <si>
    <t>Expected Available After Commitments (₹)</t>
  </si>
  <si>
    <t>Expected Plan Uses of Available Cash (%)</t>
  </si>
  <si>
    <t>Expected Buffer After Plan (₹)</t>
  </si>
  <si>
    <t>Actual Future Goal Cost (₹)</t>
  </si>
  <si>
    <t>Actual Future Value of Savings (₹)</t>
  </si>
  <si>
    <t>Actual Funding Gap (₹)</t>
  </si>
  <si>
    <t>Actual Monthly Rate</t>
  </si>
  <si>
    <t>Actual Starting Progress (%)</t>
  </si>
  <si>
    <t>Actual Monthly Plan / SIP (₹)</t>
  </si>
  <si>
    <t>Actual Total Contributions (₹)</t>
  </si>
  <si>
    <t>Actual Projected Growth (₹)</t>
  </si>
  <si>
    <t>Actual Available After Commitments (₹)</t>
  </si>
  <si>
    <t>Actual Plan Uses of Available Cash (%)</t>
  </si>
  <si>
    <t>Actual Buffer After Plan (₹)</t>
  </si>
  <si>
    <t>Calculation Check</t>
  </si>
  <si>
    <t>UI / Functional Check</t>
  </si>
  <si>
    <t>Overall Status</t>
  </si>
  <si>
    <t>Tester Notes</t>
  </si>
  <si>
    <t>TC01</t>
  </si>
  <si>
    <t>Education Fund</t>
  </si>
  <si>
    <t>Enter PASS after manually checking label/input behavior, buttons, saved plan, CSV and scenario UI.</t>
  </si>
  <si>
    <t>Enter the site's displayed values in Actual columns, then set UI / Functional Check to PASS after manual checks.</t>
  </si>
  <si>
    <t>TC02</t>
  </si>
  <si>
    <t>TC03</t>
  </si>
  <si>
    <t>Emergency/Family Goal</t>
  </si>
  <si>
    <t>TC04</t>
  </si>
  <si>
    <t>Vehicle Goal</t>
  </si>
  <si>
    <t>TC05</t>
  </si>
  <si>
    <t>TC06</t>
  </si>
  <si>
    <t>TC07</t>
  </si>
  <si>
    <t>Zero Return</t>
  </si>
  <si>
    <t>TC08</t>
  </si>
  <si>
    <t>Fully Funded</t>
  </si>
  <si>
    <t>TC09</t>
  </si>
  <si>
    <t>No Existing Savings</t>
  </si>
  <si>
    <t>TC10</t>
  </si>
  <si>
    <t>High Inflation</t>
  </si>
  <si>
    <t>High Return</t>
  </si>
  <si>
    <t>Zero Income</t>
  </si>
  <si>
    <t>Metric</t>
  </si>
  <si>
    <t>Goal Bridge Expected Formula / Rule</t>
  </si>
  <si>
    <t>Purpose</t>
  </si>
  <si>
    <t>Future Goal Cost</t>
  </si>
  <si>
    <t>Today's Cost × (1 + Inflation)^Years</t>
  </si>
  <si>
    <t>Inflation-adjusted target amount</t>
  </si>
  <si>
    <t>Effective Monthly Rate</t>
  </si>
  <si>
    <t>(1 + Annual Return)^(1/12) − 1</t>
  </si>
  <si>
    <t>Converts annual return to effective monthly compounding</t>
  </si>
  <si>
    <t>Future Value of Existing Savings</t>
  </si>
  <si>
    <t>Existing Savings × (1 + Effective Monthly Rate)^Months</t>
  </si>
  <si>
    <t>Projects current savings to the goal date</t>
  </si>
  <si>
    <t>Funding Gap</t>
  </si>
  <si>
    <t>MAX(Future Goal Cost − Future Value of Existing Savings, 0)</t>
  </si>
  <si>
    <t>Amount still required after existing savings</t>
  </si>
  <si>
    <t>Monthly Plan / SIP</t>
  </si>
  <si>
    <t>Gap × r / ((1+r)^n − 1); if r=0, Gap/n</t>
  </si>
  <si>
    <t>Required monthly contribution; matches Goal Bridge methodology</t>
  </si>
  <si>
    <t>Total Contributions</t>
  </si>
  <si>
    <t>Monthly Plan × Months</t>
  </si>
  <si>
    <t>Total cash contributed over the remaining period</t>
  </si>
  <si>
    <t>Projected Growth</t>
  </si>
  <si>
    <t>Funding Gap − Total Contributions</t>
  </si>
  <si>
    <t>Growth attributable to the monthly plan</t>
  </si>
  <si>
    <t>Starting Progress</t>
  </si>
  <si>
    <t>Future Value of Existing Savings ÷ Future Goal Cost × 100</t>
  </si>
  <si>
    <t>Progress already funded at the goal date</t>
  </si>
  <si>
    <t>Available After Commitments</t>
  </si>
  <si>
    <t>Monthly Income − Monthly Commitments</t>
  </si>
  <si>
    <t>Cash available before the plan</t>
  </si>
  <si>
    <t>Plan Uses of Available Cash</t>
  </si>
  <si>
    <t>Monthly Plan ÷ Available After Commitments × 100</t>
  </si>
  <si>
    <t>Share of available monthly cash used by the plan</t>
  </si>
  <si>
    <t>Buffer After Plan</t>
  </si>
  <si>
    <t>Available After Commitments − Monthly Plan</t>
  </si>
  <si>
    <t>Cash remaining after the planned contribution</t>
  </si>
  <si>
    <t>Rounding / Site Check</t>
  </si>
  <si>
    <t>Site may display currency as whole rupees; validation allows ≤ ₹1 difference for currency fields</t>
  </si>
  <si>
    <t>Prevents false failures caused only by display rounding</t>
  </si>
  <si>
    <t>Site Metric / Function</t>
  </si>
  <si>
    <t>Covered In Test Cases</t>
  </si>
  <si>
    <t>Notes</t>
  </si>
  <si>
    <t>Goal label</t>
  </si>
  <si>
    <t>TC01–TC12</t>
  </si>
  <si>
    <t>Individual input column</t>
  </si>
  <si>
    <t>Today's cost</t>
  </si>
  <si>
    <t>Years until needed</t>
  </si>
  <si>
    <t>Includes 0.25-year edge case</t>
  </si>
  <si>
    <t>Inflation</t>
  </si>
  <si>
    <t>Includes 0% and high inflation</t>
  </si>
  <si>
    <t>Expected return</t>
  </si>
  <si>
    <t>Includes 0% and high return</t>
  </si>
  <si>
    <t>Existing savings</t>
  </si>
  <si>
    <t>Includes 0 and fully-funded scenario</t>
  </si>
  <si>
    <t>Monthly income</t>
  </si>
  <si>
    <t>Includes zero-income edge case</t>
  </si>
  <si>
    <t>Monthly commitments</t>
  </si>
  <si>
    <t>Future goal cost</t>
  </si>
  <si>
    <t>Expected + actual columns</t>
  </si>
  <si>
    <t>Future value of savings</t>
  </si>
  <si>
    <t>Funding gap</t>
  </si>
  <si>
    <t>Monthly rate</t>
  </si>
  <si>
    <t>Starting progress</t>
  </si>
  <si>
    <t>Monthly plan / SIP</t>
  </si>
  <si>
    <t>Total contributions</t>
  </si>
  <si>
    <t>Projected growth</t>
  </si>
  <si>
    <t>Available after commitments</t>
  </si>
  <si>
    <t>Plan uses of available cash</t>
  </si>
  <si>
    <t>Buffer after plan</t>
  </si>
  <si>
    <t>Reset button</t>
  </si>
  <si>
    <t>Manual functional check</t>
  </si>
  <si>
    <t>Save this plan</t>
  </si>
  <si>
    <t>Load saved plan</t>
  </si>
  <si>
    <t>Up to 12 saved scenarios</t>
  </si>
  <si>
    <t>Download plan CSV</t>
  </si>
  <si>
    <t>Manual file/content check</t>
  </si>
  <si>
    <t>Stress-test scenarios</t>
  </si>
  <si>
    <t>Manual scenario comparison check</t>
  </si>
  <si>
    <t>Zero-return handling</t>
  </si>
  <si>
    <t>Division-by-zero edge case</t>
  </si>
  <si>
    <t>Fully funded handling</t>
  </si>
  <si>
    <t>Funding gap should not go negative</t>
  </si>
  <si>
    <t>PASS</t>
  </si>
  <si>
    <t>Difference</t>
  </si>
  <si>
    <t>-</t>
  </si>
  <si>
    <t>FAIL</t>
  </si>
  <si>
    <t>Projected Growth (60,739)</t>
  </si>
  <si>
    <t>Projected Growth (38,141)</t>
  </si>
  <si>
    <t>Projected Growth (1,15,892)</t>
  </si>
  <si>
    <t>Projected Growth (17,84,266)</t>
  </si>
  <si>
    <t>Projected Growth (35,691)</t>
  </si>
  <si>
    <t>Retirement Fund</t>
  </si>
  <si>
    <t>Projected Growth (19,66,941)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</si>
</sst>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00000%"/>
    <numFmt numFmtId="166" formatCode="0.0000000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7F9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164" fontId="0" fillId="6" borderId="1" xfId="0" applyNumberFormat="1" applyFill="1" applyBorder="1" applyAlignment="1">
      <alignment vertical="center" wrapText="1"/>
    </xf>
    <xf numFmtId="2" fontId="0" fillId="6" borderId="1" xfId="0" applyNumberForma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166" fontId="0" fillId="3" borderId="1" xfId="0" applyNumberFormat="1" applyFill="1" applyBorder="1" applyAlignment="1">
      <alignment vertical="center" wrapText="1"/>
    </xf>
    <xf numFmtId="2" fontId="0" fillId="3" borderId="1" xfId="0" applyNumberFormat="1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2" fontId="0" fillId="4" borderId="1" xfId="0" applyNumberFormat="1" applyFill="1" applyBorder="1" applyAlignment="1">
      <alignment vertical="center" wrapText="1"/>
    </xf>
    <xf numFmtId="165" fontId="0" fillId="5" borderId="1" xfId="0" applyNumberFormat="1" applyFill="1" applyBorder="1" applyAlignment="1">
      <alignment vertical="center" wrapText="1"/>
    </xf>
    <xf numFmtId="10" fontId="0" fillId="5" borderId="1" xfId="0" applyNumberFormat="1" applyFill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showGridLines="0" tabSelected="1" workbookViewId="0">
      <selection activeCell="AH6" sqref="AH6"/>
    </sheetView>
  </sheetViews>
  <sheetFormatPr defaultRowHeight="14.4" x14ac:dyDescent="0.3"/>
  <cols>
    <col min="1" max="1" width="12" customWidth="1"/>
    <col min="2" max="2" width="24" customWidth="1"/>
    <col min="3" max="5" width="17" customWidth="1"/>
    <col min="6" max="6" width="16" customWidth="1"/>
    <col min="7" max="7" width="15" customWidth="1"/>
    <col min="8" max="9" width="20" customWidth="1"/>
    <col min="10" max="10" width="23" customWidth="1"/>
    <col min="11" max="11" width="24" customWidth="1"/>
    <col min="12" max="12" width="27" customWidth="1"/>
    <col min="13" max="13" width="23" customWidth="1"/>
    <col min="14" max="14" width="19" customWidth="1"/>
    <col min="15" max="15" width="23" customWidth="1"/>
    <col min="16" max="16" width="25" customWidth="1"/>
    <col min="17" max="18" width="24" customWidth="1"/>
    <col min="19" max="19" width="28" customWidth="1"/>
    <col min="20" max="20" width="31" customWidth="1"/>
    <col min="21" max="21" width="25" customWidth="1"/>
    <col min="22" max="22" width="24" customWidth="1"/>
    <col min="23" max="23" width="27" customWidth="1"/>
    <col min="24" max="24" width="23" customWidth="1"/>
    <col min="25" max="25" width="19" customWidth="1"/>
    <col min="26" max="26" width="23" customWidth="1"/>
    <col min="27" max="27" width="25" customWidth="1"/>
    <col min="28" max="29" width="24" customWidth="1"/>
    <col min="30" max="30" width="28" customWidth="1"/>
    <col min="31" max="31" width="31" customWidth="1"/>
    <col min="32" max="32" width="25" customWidth="1"/>
    <col min="33" max="34" width="18" style="17" customWidth="1"/>
    <col min="35" max="35" width="22" customWidth="1"/>
    <col min="36" max="36" width="16" customWidth="1"/>
    <col min="37" max="37" width="55" customWidth="1"/>
  </cols>
  <sheetData>
    <row r="1" spans="1:37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5" t="s">
        <v>32</v>
      </c>
      <c r="AH1" s="18" t="s">
        <v>140</v>
      </c>
      <c r="AI1" s="1" t="s">
        <v>33</v>
      </c>
      <c r="AJ1" s="1" t="s">
        <v>34</v>
      </c>
      <c r="AK1" s="1" t="s">
        <v>35</v>
      </c>
    </row>
    <row r="2" spans="1:37" ht="28.8" customHeight="1" x14ac:dyDescent="0.3">
      <c r="A2" s="2" t="s">
        <v>36</v>
      </c>
      <c r="B2" s="2" t="s">
        <v>37</v>
      </c>
      <c r="C2" s="3">
        <v>1200000</v>
      </c>
      <c r="D2" s="2">
        <v>10</v>
      </c>
      <c r="E2" s="2">
        <v>120</v>
      </c>
      <c r="F2" s="4">
        <v>0.06</v>
      </c>
      <c r="G2" s="4">
        <v>0.01</v>
      </c>
      <c r="H2" s="3">
        <v>0</v>
      </c>
      <c r="I2" s="3">
        <v>60000</v>
      </c>
      <c r="J2" s="3">
        <v>25000</v>
      </c>
      <c r="K2" s="5">
        <f t="shared" ref="K2:K11" si="0">C2*(1+F2)^D2</f>
        <v>2149017.2358514257</v>
      </c>
      <c r="L2" s="5">
        <f t="shared" ref="L2:L11" si="1">H2*(1+N2)^E2</f>
        <v>0</v>
      </c>
      <c r="M2" s="5">
        <f t="shared" ref="M2:M11" si="2">MAX(K2-L2,0)</f>
        <v>2149017.2358514257</v>
      </c>
      <c r="N2" s="6">
        <f>(1+G2)^(1/12)-1</f>
        <v>8.295381143461622E-4</v>
      </c>
      <c r="O2" s="7">
        <f t="shared" ref="O2:O11" si="3">IF(K2=0,100,L2/K2*100)</f>
        <v>0</v>
      </c>
      <c r="P2" s="5">
        <f t="shared" ref="P2:P11" si="4">IF(M2=0,0,IF(N2=0,M2/E2,M2*N2/((1+N2)^E2-1)))</f>
        <v>17039.337506470823</v>
      </c>
      <c r="Q2" s="5">
        <f>P2*E2</f>
        <v>2044720.5007764988</v>
      </c>
      <c r="R2" s="5">
        <f t="shared" ref="R2:R11" si="5">M2-Q2</f>
        <v>104296.73507492687</v>
      </c>
      <c r="S2" s="5">
        <f t="shared" ref="S2:S11" si="6">I2-J2</f>
        <v>35000</v>
      </c>
      <c r="T2" s="7">
        <f t="shared" ref="T2:T11" si="7">IF(S2=0,0,P2/S2*100)</f>
        <v>48.683821447059493</v>
      </c>
      <c r="U2" s="5">
        <f t="shared" ref="U2:U11" si="8">S2-P2</f>
        <v>17960.662493529177</v>
      </c>
      <c r="V2" s="8">
        <v>2149017.2400000002</v>
      </c>
      <c r="W2" s="8">
        <v>0</v>
      </c>
      <c r="X2" s="8">
        <v>2149017.2400000002</v>
      </c>
      <c r="Y2" s="9">
        <v>8.2953810000000003E-2</v>
      </c>
      <c r="Z2" s="9">
        <v>0</v>
      </c>
      <c r="AA2" s="8">
        <v>17039.34</v>
      </c>
      <c r="AB2" s="8">
        <v>2044721.5</v>
      </c>
      <c r="AC2" s="8">
        <v>104297.74</v>
      </c>
      <c r="AD2" s="8">
        <v>35000</v>
      </c>
      <c r="AE2" s="9">
        <v>48.68</v>
      </c>
      <c r="AF2" s="8">
        <v>17960.66</v>
      </c>
      <c r="AG2" s="16" t="s">
        <v>139</v>
      </c>
      <c r="AH2" s="16" t="s">
        <v>141</v>
      </c>
      <c r="AI2" s="10" t="s">
        <v>38</v>
      </c>
      <c r="AJ2" s="11" t="str">
        <f t="shared" ref="AJ2:AJ11" si="9">IF(AND(AG2="PASS",AI2="PASS"),"PASS","PENDING")</f>
        <v>PENDING</v>
      </c>
      <c r="AK2" s="12" t="s">
        <v>39</v>
      </c>
    </row>
    <row r="3" spans="1:37" ht="28.8" customHeight="1" x14ac:dyDescent="0.3">
      <c r="A3" s="2" t="s">
        <v>40</v>
      </c>
      <c r="B3" s="2" t="s">
        <v>42</v>
      </c>
      <c r="C3" s="3">
        <v>600000</v>
      </c>
      <c r="D3" s="2">
        <v>5</v>
      </c>
      <c r="E3" s="2">
        <v>60</v>
      </c>
      <c r="F3" s="4">
        <v>0.04</v>
      </c>
      <c r="G3" s="4">
        <v>0</v>
      </c>
      <c r="H3" s="3">
        <v>100000</v>
      </c>
      <c r="I3" s="3">
        <v>50000</v>
      </c>
      <c r="J3" s="3">
        <v>20000</v>
      </c>
      <c r="K3" s="5">
        <f t="shared" si="0"/>
        <v>729991.74144000025</v>
      </c>
      <c r="L3" s="5">
        <f t="shared" si="1"/>
        <v>100000</v>
      </c>
      <c r="M3" s="5">
        <f t="shared" si="2"/>
        <v>629991.74144000025</v>
      </c>
      <c r="N3" s="6">
        <f t="shared" ref="N3:N11" si="10">(1+G3)^(1/12)-1</f>
        <v>0</v>
      </c>
      <c r="O3" s="7">
        <f t="shared" si="3"/>
        <v>13.698785112655859</v>
      </c>
      <c r="P3" s="5">
        <f t="shared" si="4"/>
        <v>10499.862357333337</v>
      </c>
      <c r="Q3" s="5">
        <f t="shared" ref="Q3:Q11" si="11">P3*E3</f>
        <v>629991.74144000025</v>
      </c>
      <c r="R3" s="5">
        <f t="shared" si="5"/>
        <v>0</v>
      </c>
      <c r="S3" s="5">
        <f t="shared" si="6"/>
        <v>30000</v>
      </c>
      <c r="T3" s="7">
        <f t="shared" si="7"/>
        <v>34.99954119111112</v>
      </c>
      <c r="U3" s="5">
        <f t="shared" si="8"/>
        <v>19500.137642666661</v>
      </c>
      <c r="V3" s="8">
        <v>729992</v>
      </c>
      <c r="W3" s="8">
        <v>100000</v>
      </c>
      <c r="X3" s="8">
        <v>629992</v>
      </c>
      <c r="Y3" s="9">
        <v>0</v>
      </c>
      <c r="Z3" s="9">
        <v>13.7</v>
      </c>
      <c r="AA3" s="8">
        <v>10500</v>
      </c>
      <c r="AB3" s="8">
        <v>629992</v>
      </c>
      <c r="AC3" s="8">
        <v>0</v>
      </c>
      <c r="AD3" s="8">
        <v>30000</v>
      </c>
      <c r="AE3" s="9">
        <v>35</v>
      </c>
      <c r="AF3" s="8">
        <v>19500</v>
      </c>
      <c r="AG3" s="16" t="str">
        <f>IF(AND(ABS(V3-K3)&lt;=1,ABS(W3-L3)&lt;=1,ABS(X3-M3)&lt;=1,ABS(Y3-N3)&lt;=0.00000001,ABS(Z3-O3)&lt;=0.01,ABS(AA3-P3)&lt;=1,ABS(AB3-Q3)&lt;=1,ABS(AC3-R3)&lt;=1,ABS(AD3-S3)&lt;=1,ABS(AE3-T3)&lt;=0.01,ABS(AF3-U3)&lt;=1),"PASS","FAIL")</f>
        <v>PASS</v>
      </c>
      <c r="AH3" s="16" t="s">
        <v>141</v>
      </c>
      <c r="AI3" s="10" t="s">
        <v>38</v>
      </c>
      <c r="AJ3" s="11" t="str">
        <f t="shared" si="9"/>
        <v>PENDING</v>
      </c>
      <c r="AK3" s="12" t="s">
        <v>39</v>
      </c>
    </row>
    <row r="4" spans="1:37" ht="28.8" customHeight="1" x14ac:dyDescent="0.3">
      <c r="A4" s="2" t="s">
        <v>41</v>
      </c>
      <c r="B4" s="2" t="s">
        <v>44</v>
      </c>
      <c r="C4" s="3">
        <v>900000</v>
      </c>
      <c r="D4" s="2">
        <v>3</v>
      </c>
      <c r="E4" s="2">
        <v>36</v>
      </c>
      <c r="F4" s="4">
        <v>0.05</v>
      </c>
      <c r="G4" s="4">
        <v>0.12</v>
      </c>
      <c r="H4" s="3">
        <v>150000</v>
      </c>
      <c r="I4" s="3">
        <v>70000</v>
      </c>
      <c r="J4" s="3">
        <v>30000</v>
      </c>
      <c r="K4" s="5">
        <f t="shared" si="0"/>
        <v>1041862.5000000001</v>
      </c>
      <c r="L4" s="5">
        <f t="shared" si="1"/>
        <v>210739.20000000083</v>
      </c>
      <c r="M4" s="5">
        <f t="shared" si="2"/>
        <v>831123.29999999935</v>
      </c>
      <c r="N4" s="6">
        <f t="shared" si="10"/>
        <v>9.4887929345830457E-3</v>
      </c>
      <c r="O4" s="7">
        <f t="shared" si="3"/>
        <v>20.227160493827238</v>
      </c>
      <c r="P4" s="5">
        <f t="shared" si="4"/>
        <v>19475.948555810493</v>
      </c>
      <c r="Q4" s="5">
        <f t="shared" si="11"/>
        <v>701134.14800917776</v>
      </c>
      <c r="R4" s="5">
        <f t="shared" si="5"/>
        <v>129989.15199082159</v>
      </c>
      <c r="S4" s="5">
        <f t="shared" si="6"/>
        <v>40000</v>
      </c>
      <c r="T4" s="7">
        <f t="shared" si="7"/>
        <v>48.689871389526232</v>
      </c>
      <c r="U4" s="5">
        <f t="shared" si="8"/>
        <v>20524.051444189507</v>
      </c>
      <c r="V4" s="8">
        <v>1041863</v>
      </c>
      <c r="W4" s="8">
        <v>210739</v>
      </c>
      <c r="X4" s="8">
        <v>831123</v>
      </c>
      <c r="Y4" s="9">
        <v>0.95</v>
      </c>
      <c r="Z4" s="9">
        <v>20.2</v>
      </c>
      <c r="AA4" s="8">
        <v>19476</v>
      </c>
      <c r="AB4" s="8">
        <v>701134</v>
      </c>
      <c r="AC4" s="8">
        <v>190728</v>
      </c>
      <c r="AD4" s="8">
        <v>40000</v>
      </c>
      <c r="AE4" s="9">
        <v>49</v>
      </c>
      <c r="AF4" s="8">
        <v>20524</v>
      </c>
      <c r="AG4" s="16" t="s">
        <v>142</v>
      </c>
      <c r="AH4" s="16" t="s">
        <v>143</v>
      </c>
      <c r="AI4" s="10" t="s">
        <v>38</v>
      </c>
      <c r="AJ4" s="11" t="str">
        <f t="shared" si="9"/>
        <v>PENDING</v>
      </c>
      <c r="AK4" s="12" t="s">
        <v>39</v>
      </c>
    </row>
    <row r="5" spans="1:37" ht="28.8" customHeight="1" x14ac:dyDescent="0.3">
      <c r="A5" s="2" t="s">
        <v>43</v>
      </c>
      <c r="B5" s="2" t="s">
        <v>148</v>
      </c>
      <c r="C5" s="3">
        <v>2500000</v>
      </c>
      <c r="D5" s="2">
        <v>25</v>
      </c>
      <c r="E5" s="2">
        <v>300</v>
      </c>
      <c r="F5" s="4">
        <v>0.05</v>
      </c>
      <c r="G5" s="4">
        <v>0.1</v>
      </c>
      <c r="H5" s="3">
        <v>200000</v>
      </c>
      <c r="I5" s="3">
        <v>100000</v>
      </c>
      <c r="J5" s="3">
        <v>40000</v>
      </c>
      <c r="K5" s="5">
        <f>C5*(1+F5)^D5</f>
        <v>8465887.3522484638</v>
      </c>
      <c r="L5" s="5">
        <f t="shared" si="1"/>
        <v>2166941.1886776919</v>
      </c>
      <c r="M5" s="5">
        <f t="shared" si="2"/>
        <v>6298946.1635707719</v>
      </c>
      <c r="N5" s="6">
        <f t="shared" si="10"/>
        <v>7.9741404289037643E-3</v>
      </c>
      <c r="O5" s="7">
        <f t="shared" si="3"/>
        <v>25.596149564902632</v>
      </c>
      <c r="P5" s="5">
        <f t="shared" si="4"/>
        <v>5107.2885708580843</v>
      </c>
      <c r="Q5" s="5">
        <f t="shared" si="11"/>
        <v>1532186.5712574252</v>
      </c>
      <c r="R5" s="5">
        <f t="shared" si="5"/>
        <v>4766759.5923133465</v>
      </c>
      <c r="S5" s="5">
        <f t="shared" si="6"/>
        <v>60000</v>
      </c>
      <c r="T5" s="7">
        <f t="shared" si="7"/>
        <v>8.5121476180968081</v>
      </c>
      <c r="U5" s="5">
        <f t="shared" si="8"/>
        <v>54892.711429141913</v>
      </c>
      <c r="V5" s="8">
        <v>8465887</v>
      </c>
      <c r="W5" s="8">
        <v>2166941</v>
      </c>
      <c r="X5" s="8">
        <v>6298946</v>
      </c>
      <c r="Y5" s="9">
        <v>0.8</v>
      </c>
      <c r="Z5" s="9">
        <v>25.6</v>
      </c>
      <c r="AA5" s="8">
        <v>5107</v>
      </c>
      <c r="AB5" s="8">
        <v>1532187</v>
      </c>
      <c r="AC5" s="8">
        <v>6733701</v>
      </c>
      <c r="AD5" s="8">
        <v>60000</v>
      </c>
      <c r="AE5" s="9">
        <v>9</v>
      </c>
      <c r="AF5" s="8">
        <v>54893</v>
      </c>
      <c r="AG5" s="16" t="str">
        <f>IF(AND(ABS(V5-K5)&lt;=1,ABS(W5-L5)&lt;=1,ABS(X5-M5)&lt;=1,ABS(Y5-N5)&lt;=0.00000001,ABS(Z5-O5)&lt;=0.01,ABS(AA5-P5)&lt;=1,ABS(AB5-Q5)&lt;=1,ABS(AC5-R5)&lt;=1,ABS(AD5-S5)&lt;=1,ABS(AE5-T5)&lt;=0.01,ABS(AF5-U5)&lt;=1),"PASS","FAIL")</f>
        <v>FAIL</v>
      </c>
      <c r="AH5" s="16" t="s">
        <v>149</v>
      </c>
      <c r="AI5" s="10" t="s">
        <v>38</v>
      </c>
      <c r="AJ5" s="11" t="str">
        <f t="shared" si="9"/>
        <v>PENDING</v>
      </c>
      <c r="AK5" s="12" t="s">
        <v>39</v>
      </c>
    </row>
    <row r="6" spans="1:37" ht="28.8" customHeight="1" x14ac:dyDescent="0.3">
      <c r="A6" s="2" t="s">
        <v>45</v>
      </c>
      <c r="B6" s="2" t="s">
        <v>48</v>
      </c>
      <c r="C6" s="3">
        <v>1000000</v>
      </c>
      <c r="D6" s="2">
        <v>5</v>
      </c>
      <c r="E6" s="2">
        <v>60</v>
      </c>
      <c r="F6" s="4">
        <v>0.05</v>
      </c>
      <c r="G6" s="4">
        <v>0</v>
      </c>
      <c r="H6" s="3">
        <v>100000</v>
      </c>
      <c r="I6" s="3">
        <v>70000</v>
      </c>
      <c r="J6" s="3">
        <v>30000</v>
      </c>
      <c r="K6" s="5">
        <f t="shared" si="0"/>
        <v>1276281.5625000002</v>
      </c>
      <c r="L6" s="5">
        <f t="shared" si="1"/>
        <v>100000</v>
      </c>
      <c r="M6" s="5">
        <f t="shared" si="2"/>
        <v>1176281.5625000002</v>
      </c>
      <c r="N6" s="6">
        <f t="shared" si="10"/>
        <v>0</v>
      </c>
      <c r="O6" s="7">
        <f t="shared" si="3"/>
        <v>7.8352616646845883</v>
      </c>
      <c r="P6" s="5">
        <f t="shared" si="4"/>
        <v>19604.692708333336</v>
      </c>
      <c r="Q6" s="5">
        <f t="shared" si="11"/>
        <v>1176281.5625000002</v>
      </c>
      <c r="R6" s="5">
        <f t="shared" si="5"/>
        <v>0</v>
      </c>
      <c r="S6" s="5">
        <f t="shared" si="6"/>
        <v>40000</v>
      </c>
      <c r="T6" s="7">
        <f t="shared" si="7"/>
        <v>49.011731770833336</v>
      </c>
      <c r="U6" s="5">
        <f t="shared" si="8"/>
        <v>20395.307291666664</v>
      </c>
      <c r="V6" s="8">
        <v>1276282</v>
      </c>
      <c r="W6" s="8">
        <v>100000</v>
      </c>
      <c r="X6" s="8">
        <v>1176282</v>
      </c>
      <c r="Y6" s="9">
        <v>0</v>
      </c>
      <c r="Z6" s="9">
        <v>7.8</v>
      </c>
      <c r="AA6" s="8">
        <v>19605</v>
      </c>
      <c r="AB6" s="8">
        <v>1176282</v>
      </c>
      <c r="AC6" s="8">
        <v>0</v>
      </c>
      <c r="AD6" s="8">
        <v>40000</v>
      </c>
      <c r="AE6" s="9">
        <v>49</v>
      </c>
      <c r="AF6" s="8">
        <v>20395</v>
      </c>
      <c r="AG6" s="16" t="s">
        <v>139</v>
      </c>
      <c r="AH6" s="16" t="s">
        <v>141</v>
      </c>
      <c r="AI6" s="10" t="s">
        <v>38</v>
      </c>
      <c r="AJ6" s="11" t="str">
        <f t="shared" si="9"/>
        <v>PENDING</v>
      </c>
      <c r="AK6" s="12" t="s">
        <v>39</v>
      </c>
    </row>
    <row r="7" spans="1:37" ht="28.8" customHeight="1" x14ac:dyDescent="0.3">
      <c r="A7" s="2" t="s">
        <v>46</v>
      </c>
      <c r="B7" s="2" t="s">
        <v>50</v>
      </c>
      <c r="C7" s="3">
        <v>500000</v>
      </c>
      <c r="D7" s="2">
        <v>5</v>
      </c>
      <c r="E7" s="2">
        <v>60</v>
      </c>
      <c r="F7" s="4">
        <v>0.05</v>
      </c>
      <c r="G7" s="4">
        <v>0.08</v>
      </c>
      <c r="H7" s="3">
        <v>600000</v>
      </c>
      <c r="I7" s="3">
        <v>70000</v>
      </c>
      <c r="J7" s="3">
        <v>30000</v>
      </c>
      <c r="K7" s="5">
        <f t="shared" si="0"/>
        <v>638140.78125000012</v>
      </c>
      <c r="L7" s="5">
        <f t="shared" si="1"/>
        <v>881596.84607999923</v>
      </c>
      <c r="M7" s="5">
        <f t="shared" si="2"/>
        <v>0</v>
      </c>
      <c r="N7" s="6">
        <f t="shared" si="10"/>
        <v>6.4340301100034303E-3</v>
      </c>
      <c r="O7" s="7">
        <f t="shared" si="3"/>
        <v>138.15083943594917</v>
      </c>
      <c r="P7" s="5">
        <f t="shared" si="4"/>
        <v>0</v>
      </c>
      <c r="Q7" s="5">
        <f t="shared" si="11"/>
        <v>0</v>
      </c>
      <c r="R7" s="5">
        <f t="shared" si="5"/>
        <v>0</v>
      </c>
      <c r="S7" s="5">
        <f t="shared" si="6"/>
        <v>40000</v>
      </c>
      <c r="T7" s="7">
        <f t="shared" si="7"/>
        <v>0</v>
      </c>
      <c r="U7" s="5">
        <f t="shared" si="8"/>
        <v>40000</v>
      </c>
      <c r="V7" s="8">
        <v>638141</v>
      </c>
      <c r="W7" s="8">
        <v>881597</v>
      </c>
      <c r="X7" s="8">
        <v>0</v>
      </c>
      <c r="Y7" s="9">
        <v>0.64</v>
      </c>
      <c r="Z7" s="9">
        <v>100</v>
      </c>
      <c r="AA7" s="8">
        <v>0</v>
      </c>
      <c r="AB7" s="8">
        <v>0</v>
      </c>
      <c r="AC7" s="8">
        <v>38141</v>
      </c>
      <c r="AD7" s="8">
        <v>40000</v>
      </c>
      <c r="AE7" s="9">
        <v>0</v>
      </c>
      <c r="AF7" s="8">
        <v>40000</v>
      </c>
      <c r="AG7" s="16" t="str">
        <f>IF(AND(ABS(V7-K7)&lt;=1,ABS(W7-L7)&lt;=1,ABS(X7-M7)&lt;=1,ABS(Y7-N7)&lt;=0.00000001,ABS(Z7-O7)&lt;=0.01,ABS(AA7-P7)&lt;=1,ABS(AB7-Q7)&lt;=1,ABS(AC7-R7)&lt;=1,ABS(AD7-S7)&lt;=1,ABS(AE7-T7)&lt;=0.01,ABS(AF7-U7)&lt;=1),"PASS","FAIL")</f>
        <v>FAIL</v>
      </c>
      <c r="AH7" s="16" t="s">
        <v>144</v>
      </c>
      <c r="AI7" s="10" t="s">
        <v>38</v>
      </c>
      <c r="AJ7" s="11" t="str">
        <f t="shared" si="9"/>
        <v>PENDING</v>
      </c>
      <c r="AK7" s="12" t="s">
        <v>39</v>
      </c>
    </row>
    <row r="8" spans="1:37" ht="28.8" customHeight="1" x14ac:dyDescent="0.3">
      <c r="A8" s="2" t="s">
        <v>47</v>
      </c>
      <c r="B8" s="2" t="s">
        <v>52</v>
      </c>
      <c r="C8" s="3">
        <v>100000</v>
      </c>
      <c r="D8" s="2">
        <v>3</v>
      </c>
      <c r="E8" s="2">
        <v>36</v>
      </c>
      <c r="F8" s="4">
        <v>0</v>
      </c>
      <c r="G8" s="4">
        <v>7.0000000000000007E-2</v>
      </c>
      <c r="H8" s="3">
        <v>0</v>
      </c>
      <c r="I8" s="3">
        <v>30000</v>
      </c>
      <c r="J8" s="3">
        <v>10000</v>
      </c>
      <c r="K8" s="5">
        <f t="shared" si="0"/>
        <v>100000</v>
      </c>
      <c r="L8" s="5">
        <f t="shared" si="1"/>
        <v>0</v>
      </c>
      <c r="M8" s="5">
        <f t="shared" si="2"/>
        <v>100000</v>
      </c>
      <c r="N8" s="6">
        <f t="shared" si="10"/>
        <v>5.6541453874052738E-3</v>
      </c>
      <c r="O8" s="7">
        <f t="shared" si="3"/>
        <v>0</v>
      </c>
      <c r="P8" s="5">
        <f t="shared" si="4"/>
        <v>2512.4733439410611</v>
      </c>
      <c r="Q8" s="5">
        <f t="shared" si="11"/>
        <v>90449.040381878207</v>
      </c>
      <c r="R8" s="5">
        <f t="shared" si="5"/>
        <v>9550.959618121793</v>
      </c>
      <c r="S8" s="5">
        <f t="shared" si="6"/>
        <v>20000</v>
      </c>
      <c r="T8" s="7">
        <f t="shared" si="7"/>
        <v>12.562366719705306</v>
      </c>
      <c r="U8" s="5">
        <f t="shared" si="8"/>
        <v>17487.526656058937</v>
      </c>
      <c r="V8" s="8">
        <v>100000</v>
      </c>
      <c r="W8" s="8">
        <v>0</v>
      </c>
      <c r="X8" s="8">
        <v>100000</v>
      </c>
      <c r="Y8" s="9">
        <v>0.56999999999999995</v>
      </c>
      <c r="Z8" s="9">
        <v>0</v>
      </c>
      <c r="AA8" s="8">
        <v>2512</v>
      </c>
      <c r="AB8" s="8">
        <v>90449</v>
      </c>
      <c r="AC8" s="8">
        <v>9551</v>
      </c>
      <c r="AD8" s="8">
        <v>20000</v>
      </c>
      <c r="AE8" s="9">
        <v>13</v>
      </c>
      <c r="AF8" s="8">
        <v>17488</v>
      </c>
      <c r="AG8" s="16" t="s">
        <v>139</v>
      </c>
      <c r="AH8" s="16" t="s">
        <v>141</v>
      </c>
      <c r="AI8" s="10" t="s">
        <v>38</v>
      </c>
      <c r="AJ8" s="11" t="str">
        <f t="shared" si="9"/>
        <v>PENDING</v>
      </c>
      <c r="AK8" s="12" t="s">
        <v>39</v>
      </c>
    </row>
    <row r="9" spans="1:37" ht="28.8" customHeight="1" x14ac:dyDescent="0.3">
      <c r="A9" s="2" t="s">
        <v>49</v>
      </c>
      <c r="B9" s="2" t="s">
        <v>54</v>
      </c>
      <c r="C9" s="3">
        <v>1000000</v>
      </c>
      <c r="D9" s="2">
        <v>10</v>
      </c>
      <c r="E9" s="2">
        <v>120</v>
      </c>
      <c r="F9" s="4">
        <v>0.01</v>
      </c>
      <c r="G9" s="4">
        <v>0.08</v>
      </c>
      <c r="H9" s="3">
        <v>100000</v>
      </c>
      <c r="I9" s="3">
        <v>80000</v>
      </c>
      <c r="J9" s="3">
        <v>30000</v>
      </c>
      <c r="K9" s="5">
        <f t="shared" si="0"/>
        <v>1104622.1254112048</v>
      </c>
      <c r="L9" s="5">
        <f t="shared" si="1"/>
        <v>215892.49972727837</v>
      </c>
      <c r="M9" s="5">
        <f t="shared" si="2"/>
        <v>888729.6256839264</v>
      </c>
      <c r="N9" s="6">
        <f t="shared" si="10"/>
        <v>6.4340301100034303E-3</v>
      </c>
      <c r="O9" s="7">
        <f t="shared" si="3"/>
        <v>19.544466361916353</v>
      </c>
      <c r="P9" s="5">
        <f t="shared" si="4"/>
        <v>4933.9803565877792</v>
      </c>
      <c r="Q9" s="5">
        <f t="shared" si="11"/>
        <v>592077.64279053349</v>
      </c>
      <c r="R9" s="5">
        <f t="shared" si="5"/>
        <v>296651.98289339291</v>
      </c>
      <c r="S9" s="5">
        <f t="shared" si="6"/>
        <v>50000</v>
      </c>
      <c r="T9" s="7">
        <f t="shared" si="7"/>
        <v>9.8679607131755578</v>
      </c>
      <c r="U9" s="5">
        <f t="shared" si="8"/>
        <v>45066.019643412219</v>
      </c>
      <c r="V9" s="8">
        <v>1104622</v>
      </c>
      <c r="W9" s="8">
        <v>215892</v>
      </c>
      <c r="X9" s="8">
        <v>888730</v>
      </c>
      <c r="Y9" s="9">
        <v>0.64</v>
      </c>
      <c r="Z9" s="9">
        <v>19.5</v>
      </c>
      <c r="AA9" s="8">
        <v>4934</v>
      </c>
      <c r="AB9" s="8">
        <v>592078</v>
      </c>
      <c r="AC9" s="8">
        <v>412544</v>
      </c>
      <c r="AD9" s="8">
        <v>50000</v>
      </c>
      <c r="AE9" s="9">
        <v>10</v>
      </c>
      <c r="AF9" s="8">
        <v>45066</v>
      </c>
      <c r="AG9" s="16" t="str">
        <f>IF(AND(ABS(V9-K9)&lt;=1,ABS(W9-L9)&lt;=1,ABS(X9-M9)&lt;=1,ABS(Y9-N9)&lt;=0.00000001,ABS(Z9-O9)&lt;=0.01,ABS(AA9-P9)&lt;=1,ABS(AB9-Q9)&lt;=1,ABS(AC9-R9)&lt;=1,ABS(AD9-S9)&lt;=1,ABS(AE9-T9)&lt;=0.01,ABS(AF9-U9)&lt;=1),"PASS","FAIL")</f>
        <v>FAIL</v>
      </c>
      <c r="AH9" s="16" t="s">
        <v>145</v>
      </c>
      <c r="AI9" s="10" t="s">
        <v>38</v>
      </c>
      <c r="AJ9" s="11" t="str">
        <f t="shared" si="9"/>
        <v>PENDING</v>
      </c>
      <c r="AK9" s="12" t="s">
        <v>39</v>
      </c>
    </row>
    <row r="10" spans="1:37" ht="28.8" customHeight="1" x14ac:dyDescent="0.3">
      <c r="A10" s="2" t="s">
        <v>51</v>
      </c>
      <c r="B10" s="2" t="s">
        <v>55</v>
      </c>
      <c r="C10" s="3">
        <v>2000000</v>
      </c>
      <c r="D10" s="2">
        <v>15</v>
      </c>
      <c r="E10" s="2">
        <v>180</v>
      </c>
      <c r="F10" s="4">
        <v>0.03</v>
      </c>
      <c r="G10" s="4">
        <v>0.15</v>
      </c>
      <c r="H10" s="3">
        <v>250000</v>
      </c>
      <c r="I10" s="3">
        <v>120000</v>
      </c>
      <c r="J10" s="3">
        <v>50000</v>
      </c>
      <c r="K10" s="5">
        <f t="shared" si="0"/>
        <v>3115934.833201529</v>
      </c>
      <c r="L10" s="5">
        <f t="shared" si="1"/>
        <v>2034265.4072906207</v>
      </c>
      <c r="M10" s="5">
        <f t="shared" si="2"/>
        <v>1081669.4259109083</v>
      </c>
      <c r="N10" s="6">
        <f t="shared" si="10"/>
        <v>1.171491691985338E-2</v>
      </c>
      <c r="O10" s="7">
        <f t="shared" si="3"/>
        <v>65.285877792266746</v>
      </c>
      <c r="P10" s="5">
        <f t="shared" si="4"/>
        <v>1775.4740140556669</v>
      </c>
      <c r="Q10" s="5">
        <f t="shared" si="11"/>
        <v>319585.32253002003</v>
      </c>
      <c r="R10" s="5">
        <f t="shared" si="5"/>
        <v>762084.10338088823</v>
      </c>
      <c r="S10" s="5">
        <f t="shared" si="6"/>
        <v>70000</v>
      </c>
      <c r="T10" s="7">
        <f t="shared" si="7"/>
        <v>2.5363914486509529</v>
      </c>
      <c r="U10" s="5">
        <f t="shared" si="8"/>
        <v>68224.525985944332</v>
      </c>
      <c r="V10" s="8">
        <v>3115935</v>
      </c>
      <c r="W10" s="8">
        <v>2034265</v>
      </c>
      <c r="X10" s="8">
        <v>1081669</v>
      </c>
      <c r="Y10" s="9">
        <v>1.17</v>
      </c>
      <c r="Z10" s="9">
        <v>65.290000000000006</v>
      </c>
      <c r="AA10" s="8">
        <v>1775</v>
      </c>
      <c r="AB10" s="8">
        <v>319585</v>
      </c>
      <c r="AC10" s="8">
        <v>2546350</v>
      </c>
      <c r="AD10" s="8">
        <v>70000</v>
      </c>
      <c r="AE10" s="9">
        <v>3</v>
      </c>
      <c r="AF10" s="8">
        <v>68225</v>
      </c>
      <c r="AG10" s="16" t="str">
        <f>IF(AND(ABS(V10-K10)&lt;=1,ABS(W10-L10)&lt;=1,ABS(X10-M10)&lt;=1,ABS(Y10-N10)&lt;=0.00000001,ABS(Z10-O10)&lt;=0.01,ABS(AA10-P10)&lt;=1,ABS(AB10-Q10)&lt;=1,ABS(AC10-R10)&lt;=1,ABS(AD10-S10)&lt;=1,ABS(AE10-T10)&lt;=0.01,ABS(AF10-U10)&lt;=1),"PASS","FAIL")</f>
        <v>FAIL</v>
      </c>
      <c r="AH10" s="16" t="s">
        <v>146</v>
      </c>
      <c r="AI10" s="10" t="s">
        <v>38</v>
      </c>
      <c r="AJ10" s="11" t="str">
        <f t="shared" si="9"/>
        <v>PENDING</v>
      </c>
      <c r="AK10" s="12" t="s">
        <v>39</v>
      </c>
    </row>
    <row r="11" spans="1:37" ht="28.8" customHeight="1" x14ac:dyDescent="0.3">
      <c r="A11" s="2" t="s">
        <v>53</v>
      </c>
      <c r="B11" s="2" t="s">
        <v>56</v>
      </c>
      <c r="C11" s="3">
        <v>800000</v>
      </c>
      <c r="D11" s="2">
        <v>7</v>
      </c>
      <c r="E11" s="2">
        <v>84</v>
      </c>
      <c r="F11" s="4">
        <v>0.05</v>
      </c>
      <c r="G11" s="4">
        <v>0.08</v>
      </c>
      <c r="H11" s="3">
        <v>50000</v>
      </c>
      <c r="I11" s="3">
        <v>0</v>
      </c>
      <c r="J11" s="3">
        <v>0</v>
      </c>
      <c r="K11" s="5">
        <f t="shared" si="0"/>
        <v>1125680.3381250002</v>
      </c>
      <c r="L11" s="5">
        <f t="shared" si="1"/>
        <v>85691.213438975916</v>
      </c>
      <c r="M11" s="5">
        <f t="shared" si="2"/>
        <v>1039989.1246860244</v>
      </c>
      <c r="N11" s="6">
        <f t="shared" si="10"/>
        <v>6.4340301100034303E-3</v>
      </c>
      <c r="O11" s="7">
        <f t="shared" si="3"/>
        <v>7.6123931934094422</v>
      </c>
      <c r="P11" s="5">
        <f t="shared" si="4"/>
        <v>9373.9056445176248</v>
      </c>
      <c r="Q11" s="5">
        <f t="shared" si="11"/>
        <v>787408.07413948048</v>
      </c>
      <c r="R11" s="5">
        <f t="shared" si="5"/>
        <v>252581.05054654391</v>
      </c>
      <c r="S11" s="5">
        <f t="shared" si="6"/>
        <v>0</v>
      </c>
      <c r="T11" s="7">
        <f t="shared" si="7"/>
        <v>0</v>
      </c>
      <c r="U11" s="5">
        <f t="shared" si="8"/>
        <v>-9373.9056445176248</v>
      </c>
      <c r="V11" s="8">
        <v>1125680</v>
      </c>
      <c r="W11" s="8">
        <v>85691</v>
      </c>
      <c r="X11" s="8">
        <v>1039989</v>
      </c>
      <c r="Y11" s="9">
        <v>0.64</v>
      </c>
      <c r="Z11" s="9">
        <v>7.6</v>
      </c>
      <c r="AA11" s="8">
        <v>9374</v>
      </c>
      <c r="AB11" s="8">
        <v>787408</v>
      </c>
      <c r="AC11" s="8">
        <v>288272</v>
      </c>
      <c r="AD11" s="8">
        <v>0</v>
      </c>
      <c r="AE11" s="9">
        <v>0</v>
      </c>
      <c r="AF11" s="8">
        <v>-9374</v>
      </c>
      <c r="AG11" s="16" t="str">
        <f>IF(AND(ABS(V11-K11)&lt;=1,ABS(W11-L11)&lt;=1,ABS(X11-M11)&lt;=1,ABS(Y11-N11)&lt;=0.00000001,ABS(Z11-O11)&lt;=0.01,ABS(AA11-P11)&lt;=1,ABS(AB11-Q11)&lt;=1,ABS(AC11-R11)&lt;=1,ABS(AD11-S11)&lt;=1,ABS(AE11-T11)&lt;=0.01,ABS(AF11-U11)&lt;=1),"PASS","FAIL")</f>
        <v>FAIL</v>
      </c>
      <c r="AH11" s="16" t="s">
        <v>147</v>
      </c>
      <c r="AI11" s="10" t="s">
        <v>38</v>
      </c>
      <c r="AJ11" s="11" t="str">
        <f t="shared" si="9"/>
        <v>PENDING</v>
      </c>
      <c r="AK11" s="12" t="s">
        <v>39</v>
      </c>
    </row>
  </sheetData>
  <autoFilter ref="A1:AK11" xr:uid="{00000000-0009-0000-0000-000000000000}"/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75" customWidth="1"/>
    <col min="3" max="3" width="52" customWidth="1"/>
  </cols>
  <sheetData>
    <row r="1" spans="1:3" x14ac:dyDescent="0.3">
      <c r="A1" s="13" t="s">
        <v>57</v>
      </c>
      <c r="B1" s="13" t="s">
        <v>58</v>
      </c>
      <c r="C1" s="13" t="s">
        <v>59</v>
      </c>
    </row>
    <row r="2" spans="1:3" x14ac:dyDescent="0.3">
      <c r="A2" s="14" t="s">
        <v>60</v>
      </c>
      <c r="B2" s="14" t="s">
        <v>61</v>
      </c>
      <c r="C2" s="14" t="s">
        <v>62</v>
      </c>
    </row>
    <row r="3" spans="1:3" x14ac:dyDescent="0.3">
      <c r="A3" s="14" t="s">
        <v>63</v>
      </c>
      <c r="B3" s="14" t="s">
        <v>64</v>
      </c>
      <c r="C3" s="14" t="s">
        <v>65</v>
      </c>
    </row>
    <row r="4" spans="1:3" x14ac:dyDescent="0.3">
      <c r="A4" s="14" t="s">
        <v>66</v>
      </c>
      <c r="B4" s="14" t="s">
        <v>67</v>
      </c>
      <c r="C4" s="14" t="s">
        <v>68</v>
      </c>
    </row>
    <row r="5" spans="1:3" x14ac:dyDescent="0.3">
      <c r="A5" s="14" t="s">
        <v>69</v>
      </c>
      <c r="B5" s="14" t="s">
        <v>70</v>
      </c>
      <c r="C5" s="14" t="s">
        <v>71</v>
      </c>
    </row>
    <row r="6" spans="1:3" ht="28.8" x14ac:dyDescent="0.3">
      <c r="A6" s="14" t="s">
        <v>72</v>
      </c>
      <c r="B6" s="14" t="s">
        <v>73</v>
      </c>
      <c r="C6" s="14" t="s">
        <v>74</v>
      </c>
    </row>
    <row r="7" spans="1:3" x14ac:dyDescent="0.3">
      <c r="A7" s="14" t="s">
        <v>75</v>
      </c>
      <c r="B7" s="14" t="s">
        <v>76</v>
      </c>
      <c r="C7" s="14" t="s">
        <v>77</v>
      </c>
    </row>
    <row r="8" spans="1:3" ht="28.8" customHeight="1" x14ac:dyDescent="0.3">
      <c r="A8" s="14" t="s">
        <v>78</v>
      </c>
      <c r="B8" s="14" t="s">
        <v>79</v>
      </c>
      <c r="C8" s="14" t="s">
        <v>80</v>
      </c>
    </row>
    <row r="9" spans="1:3" x14ac:dyDescent="0.3">
      <c r="A9" s="14" t="s">
        <v>81</v>
      </c>
      <c r="B9" s="14" t="s">
        <v>82</v>
      </c>
      <c r="C9" s="14" t="s">
        <v>83</v>
      </c>
    </row>
    <row r="10" spans="1:3" x14ac:dyDescent="0.3">
      <c r="A10" s="14" t="s">
        <v>84</v>
      </c>
      <c r="B10" s="14" t="s">
        <v>85</v>
      </c>
      <c r="C10" s="14" t="s">
        <v>86</v>
      </c>
    </row>
    <row r="11" spans="1:3" x14ac:dyDescent="0.3">
      <c r="A11" s="14" t="s">
        <v>87</v>
      </c>
      <c r="B11" s="14" t="s">
        <v>88</v>
      </c>
      <c r="C11" s="14" t="s">
        <v>89</v>
      </c>
    </row>
    <row r="12" spans="1:3" x14ac:dyDescent="0.3">
      <c r="A12" s="14" t="s">
        <v>90</v>
      </c>
      <c r="B12" s="14" t="s">
        <v>91</v>
      </c>
      <c r="C12" s="14" t="s">
        <v>92</v>
      </c>
    </row>
    <row r="13" spans="1:3" ht="28.8" customHeight="1" x14ac:dyDescent="0.3">
      <c r="A13" s="14" t="s">
        <v>93</v>
      </c>
      <c r="B13" s="14" t="s">
        <v>94</v>
      </c>
      <c r="C13" s="14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22" customWidth="1"/>
    <col min="3" max="3" width="65" customWidth="1"/>
  </cols>
  <sheetData>
    <row r="1" spans="1:3" x14ac:dyDescent="0.3">
      <c r="A1" s="13" t="s">
        <v>96</v>
      </c>
      <c r="B1" s="13" t="s">
        <v>97</v>
      </c>
      <c r="C1" s="13" t="s">
        <v>98</v>
      </c>
    </row>
    <row r="2" spans="1:3" x14ac:dyDescent="0.3">
      <c r="A2" s="14" t="s">
        <v>99</v>
      </c>
      <c r="B2" s="14" t="s">
        <v>100</v>
      </c>
      <c r="C2" s="14" t="s">
        <v>101</v>
      </c>
    </row>
    <row r="3" spans="1:3" x14ac:dyDescent="0.3">
      <c r="A3" s="14" t="s">
        <v>102</v>
      </c>
      <c r="B3" s="14" t="s">
        <v>100</v>
      </c>
      <c r="C3" s="14" t="s">
        <v>101</v>
      </c>
    </row>
    <row r="4" spans="1:3" x14ac:dyDescent="0.3">
      <c r="A4" s="14" t="s">
        <v>103</v>
      </c>
      <c r="B4" s="14" t="s">
        <v>100</v>
      </c>
      <c r="C4" s="14" t="s">
        <v>104</v>
      </c>
    </row>
    <row r="5" spans="1:3" x14ac:dyDescent="0.3">
      <c r="A5" s="14" t="s">
        <v>105</v>
      </c>
      <c r="B5" s="14" t="s">
        <v>100</v>
      </c>
      <c r="C5" s="14" t="s">
        <v>106</v>
      </c>
    </row>
    <row r="6" spans="1:3" x14ac:dyDescent="0.3">
      <c r="A6" s="14" t="s">
        <v>107</v>
      </c>
      <c r="B6" s="14" t="s">
        <v>100</v>
      </c>
      <c r="C6" s="14" t="s">
        <v>108</v>
      </c>
    </row>
    <row r="7" spans="1:3" x14ac:dyDescent="0.3">
      <c r="A7" s="14" t="s">
        <v>109</v>
      </c>
      <c r="B7" s="14" t="s">
        <v>100</v>
      </c>
      <c r="C7" s="14" t="s">
        <v>110</v>
      </c>
    </row>
    <row r="8" spans="1:3" x14ac:dyDescent="0.3">
      <c r="A8" s="14" t="s">
        <v>111</v>
      </c>
      <c r="B8" s="14" t="s">
        <v>100</v>
      </c>
      <c r="C8" s="14" t="s">
        <v>112</v>
      </c>
    </row>
    <row r="9" spans="1:3" x14ac:dyDescent="0.3">
      <c r="A9" s="14" t="s">
        <v>113</v>
      </c>
      <c r="B9" s="14" t="s">
        <v>100</v>
      </c>
      <c r="C9" s="14" t="s">
        <v>101</v>
      </c>
    </row>
    <row r="10" spans="1:3" x14ac:dyDescent="0.3">
      <c r="A10" s="14" t="s">
        <v>114</v>
      </c>
      <c r="B10" s="14" t="s">
        <v>100</v>
      </c>
      <c r="C10" s="14" t="s">
        <v>115</v>
      </c>
    </row>
    <row r="11" spans="1:3" x14ac:dyDescent="0.3">
      <c r="A11" s="14" t="s">
        <v>116</v>
      </c>
      <c r="B11" s="14" t="s">
        <v>100</v>
      </c>
      <c r="C11" s="14" t="s">
        <v>115</v>
      </c>
    </row>
    <row r="12" spans="1:3" x14ac:dyDescent="0.3">
      <c r="A12" s="14" t="s">
        <v>117</v>
      </c>
      <c r="B12" s="14" t="s">
        <v>100</v>
      </c>
      <c r="C12" s="14" t="s">
        <v>115</v>
      </c>
    </row>
    <row r="13" spans="1:3" x14ac:dyDescent="0.3">
      <c r="A13" s="14" t="s">
        <v>118</v>
      </c>
      <c r="B13" s="14" t="s">
        <v>100</v>
      </c>
      <c r="C13" s="14" t="s">
        <v>115</v>
      </c>
    </row>
    <row r="14" spans="1:3" x14ac:dyDescent="0.3">
      <c r="A14" s="14" t="s">
        <v>119</v>
      </c>
      <c r="B14" s="14" t="s">
        <v>100</v>
      </c>
      <c r="C14" s="14" t="s">
        <v>115</v>
      </c>
    </row>
    <row r="15" spans="1:3" x14ac:dyDescent="0.3">
      <c r="A15" s="14" t="s">
        <v>120</v>
      </c>
      <c r="B15" s="14" t="s">
        <v>100</v>
      </c>
      <c r="C15" s="14" t="s">
        <v>115</v>
      </c>
    </row>
    <row r="16" spans="1:3" x14ac:dyDescent="0.3">
      <c r="A16" s="14" t="s">
        <v>121</v>
      </c>
      <c r="B16" s="14" t="s">
        <v>100</v>
      </c>
      <c r="C16" s="14" t="s">
        <v>115</v>
      </c>
    </row>
    <row r="17" spans="1:3" x14ac:dyDescent="0.3">
      <c r="A17" s="14" t="s">
        <v>122</v>
      </c>
      <c r="B17" s="14" t="s">
        <v>100</v>
      </c>
      <c r="C17" s="14" t="s">
        <v>115</v>
      </c>
    </row>
    <row r="18" spans="1:3" x14ac:dyDescent="0.3">
      <c r="A18" s="14" t="s">
        <v>123</v>
      </c>
      <c r="B18" s="14" t="s">
        <v>100</v>
      </c>
      <c r="C18" s="14" t="s">
        <v>115</v>
      </c>
    </row>
    <row r="19" spans="1:3" x14ac:dyDescent="0.3">
      <c r="A19" s="14" t="s">
        <v>124</v>
      </c>
      <c r="B19" s="14" t="s">
        <v>100</v>
      </c>
      <c r="C19" s="14" t="s">
        <v>115</v>
      </c>
    </row>
    <row r="20" spans="1:3" x14ac:dyDescent="0.3">
      <c r="A20" s="14" t="s">
        <v>125</v>
      </c>
      <c r="B20" s="14" t="s">
        <v>100</v>
      </c>
      <c r="C20" s="14" t="s">
        <v>115</v>
      </c>
    </row>
    <row r="21" spans="1:3" x14ac:dyDescent="0.3">
      <c r="A21" s="14" t="s">
        <v>126</v>
      </c>
      <c r="B21" s="14" t="s">
        <v>36</v>
      </c>
      <c r="C21" s="14" t="s">
        <v>127</v>
      </c>
    </row>
    <row r="22" spans="1:3" x14ac:dyDescent="0.3">
      <c r="A22" s="14" t="s">
        <v>128</v>
      </c>
      <c r="B22" s="14" t="s">
        <v>40</v>
      </c>
      <c r="C22" s="14" t="s">
        <v>127</v>
      </c>
    </row>
    <row r="23" spans="1:3" x14ac:dyDescent="0.3">
      <c r="A23" s="14" t="s">
        <v>129</v>
      </c>
      <c r="B23" s="14" t="s">
        <v>40</v>
      </c>
      <c r="C23" s="14" t="s">
        <v>127</v>
      </c>
    </row>
    <row r="24" spans="1:3" x14ac:dyDescent="0.3">
      <c r="A24" s="14" t="s">
        <v>130</v>
      </c>
      <c r="B24" s="14" t="s">
        <v>41</v>
      </c>
      <c r="C24" s="14" t="s">
        <v>127</v>
      </c>
    </row>
    <row r="25" spans="1:3" x14ac:dyDescent="0.3">
      <c r="A25" s="14" t="s">
        <v>131</v>
      </c>
      <c r="B25" s="14" t="s">
        <v>43</v>
      </c>
      <c r="C25" s="14" t="s">
        <v>132</v>
      </c>
    </row>
    <row r="26" spans="1:3" x14ac:dyDescent="0.3">
      <c r="A26" s="14" t="s">
        <v>133</v>
      </c>
      <c r="B26" s="14" t="s">
        <v>45</v>
      </c>
      <c r="C26" s="14" t="s">
        <v>134</v>
      </c>
    </row>
    <row r="27" spans="1:3" x14ac:dyDescent="0.3">
      <c r="A27" s="14" t="s">
        <v>135</v>
      </c>
      <c r="B27" s="14" t="s">
        <v>47</v>
      </c>
      <c r="C27" s="14" t="s">
        <v>136</v>
      </c>
    </row>
    <row r="28" spans="1:3" x14ac:dyDescent="0.3">
      <c r="A28" s="14" t="s">
        <v>137</v>
      </c>
      <c r="B28" s="14" t="s">
        <v>49</v>
      </c>
      <c r="C28" s="14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Formula Reference</vt:lpstr>
      <vt:lpstr>Coverage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Goal Bridge – Calculation Test Cases</dc:title>
  <dc:subject>Professional validation workbook for Goal Bridge financial goal calculations</dc:subject>
  <dc:creator>Goal Bridge</dc:creator>
  <cp:lastModifiedBy>TERENCE KENIYA</cp:lastModifiedBy>
  <dcterms:created xsi:type="dcterms:W3CDTF">2026-09-24T15:31:56Z</dcterms:created>
  <dcterms:modified xsi:type="dcterms:W3CDTF">2026-09-25T17:42:11Z</dcterms:modified>
</cp:coreProperties>
</file>